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futura\Desafio_dataset\"/>
    </mc:Choice>
  </mc:AlternateContent>
  <xr:revisionPtr revIDLastSave="0" documentId="13_ncr:1_{C1250BB3-8EA7-4725-8586-BB55BEC57880}" xr6:coauthVersionLast="47" xr6:coauthVersionMax="47" xr10:uidLastSave="{00000000-0000-0000-0000-000000000000}"/>
  <bookViews>
    <workbookView xWindow="-96" yWindow="-96" windowWidth="23232" windowHeight="12432" xr2:uid="{00000000-000D-0000-FFFF-FFFF00000000}"/>
  </bookViews>
  <sheets>
    <sheet name="Aluno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9" i="1" l="1"/>
  <c r="J9" i="1"/>
  <c r="I9" i="1"/>
  <c r="K6" i="1"/>
  <c r="J6" i="1"/>
  <c r="I6" i="1"/>
  <c r="J3" i="1"/>
  <c r="I3" i="1"/>
</calcChain>
</file>

<file path=xl/sharedStrings.xml><?xml version="1.0" encoding="utf-8"?>
<sst xmlns="http://schemas.openxmlformats.org/spreadsheetml/2006/main" count="277" uniqueCount="252">
  <si>
    <t>nome_aluno</t>
  </si>
  <si>
    <t>matricula</t>
  </si>
  <si>
    <t>email</t>
  </si>
  <si>
    <t>horas_estudo</t>
  </si>
  <si>
    <t>aulas_assistidas</t>
  </si>
  <si>
    <t>faltas</t>
  </si>
  <si>
    <t>nota_final</t>
  </si>
  <si>
    <t>Helena Lima</t>
  </si>
  <si>
    <t>20240001</t>
  </si>
  <si>
    <t>helena.lima1@exemplo.com</t>
  </si>
  <si>
    <t>Gabriel Oliveira</t>
  </si>
  <si>
    <t>20240002</t>
  </si>
  <si>
    <t>gabriel.oliveira2@exemplo.com</t>
  </si>
  <si>
    <t>Gabriel Ribeiro</t>
  </si>
  <si>
    <t>20240003</t>
  </si>
  <si>
    <t>gabriel.ribeiro3@exemplo.com</t>
  </si>
  <si>
    <t>Ana Silva</t>
  </si>
  <si>
    <t>20240004</t>
  </si>
  <si>
    <t>ana.silva4@exemplo.com</t>
  </si>
  <si>
    <t>Daniela Lima</t>
  </si>
  <si>
    <t>20240005</t>
  </si>
  <si>
    <t>daniela.lima5@exemplo.com</t>
  </si>
  <si>
    <t>Igor Pereira</t>
  </si>
  <si>
    <t>20240006</t>
  </si>
  <si>
    <t>igor.pereira6@exemplo.com</t>
  </si>
  <si>
    <t>Juliana Gomes</t>
  </si>
  <si>
    <t>20240007</t>
  </si>
  <si>
    <t>juliana.gomes7@exemplo.com</t>
  </si>
  <si>
    <t>Carlos Almeida</t>
  </si>
  <si>
    <t>20240008</t>
  </si>
  <si>
    <t>carlos.almeida8@exemplo.com</t>
  </si>
  <si>
    <t>Helena Rodrigues</t>
  </si>
  <si>
    <t>20240009</t>
  </si>
  <si>
    <t>helena.rodrigues9@exemplo.com</t>
  </si>
  <si>
    <t>Igor Ribeiro</t>
  </si>
  <si>
    <t>20240010</t>
  </si>
  <si>
    <t>igor.ribeiro10@exemplo.com</t>
  </si>
  <si>
    <t>Bruno Silva</t>
  </si>
  <si>
    <t>20240011</t>
  </si>
  <si>
    <t>bruno.silva11@exemplo.com</t>
  </si>
  <si>
    <t>Fernanda Gomes</t>
  </si>
  <si>
    <t>20240012</t>
  </si>
  <si>
    <t>fernanda.gomes12@exemplo.com</t>
  </si>
  <si>
    <t>Bruno Gomes</t>
  </si>
  <si>
    <t>20240013</t>
  </si>
  <si>
    <t>bruno.gomes13@exemplo.com</t>
  </si>
  <si>
    <t>Igor Almeida</t>
  </si>
  <si>
    <t>20240014</t>
  </si>
  <si>
    <t>igor.almeida14@exemplo.com</t>
  </si>
  <si>
    <t>Daniela Silva</t>
  </si>
  <si>
    <t>20240015</t>
  </si>
  <si>
    <t>daniela.silva15@exemplo.com</t>
  </si>
  <si>
    <t>Igor Oliveira</t>
  </si>
  <si>
    <t>20240016</t>
  </si>
  <si>
    <t>igor.oliveira16@exemplo.com</t>
  </si>
  <si>
    <t>Daniela Costa</t>
  </si>
  <si>
    <t>20240017</t>
  </si>
  <si>
    <t>daniela.costa17@exemplo.com</t>
  </si>
  <si>
    <t>Ana Santos</t>
  </si>
  <si>
    <t>20240018</t>
  </si>
  <si>
    <t>ana.santos18@exemplo.com</t>
  </si>
  <si>
    <t>Ana Pereira</t>
  </si>
  <si>
    <t>20240019</t>
  </si>
  <si>
    <t>ana.pereira19@exemplo.com</t>
  </si>
  <si>
    <t>20240020</t>
  </si>
  <si>
    <t>juliana.gomes20@exemplo.com</t>
  </si>
  <si>
    <t>20240021</t>
  </si>
  <si>
    <t>helena.rodrigues21@exemplo.com</t>
  </si>
  <si>
    <t>Carlos Oliveira</t>
  </si>
  <si>
    <t>20240022</t>
  </si>
  <si>
    <t>carlos.oliveira22@exemplo.com</t>
  </si>
  <si>
    <t>Fernanda Rodrigues</t>
  </si>
  <si>
    <t>20240023</t>
  </si>
  <si>
    <t>fernanda.rodrigues23@exemplo.com</t>
  </si>
  <si>
    <t>Eduardo Silva</t>
  </si>
  <si>
    <t>20240024</t>
  </si>
  <si>
    <t>eduardo.silva24@exemplo.com</t>
  </si>
  <si>
    <t>Gabriel Pereira</t>
  </si>
  <si>
    <t>20240025</t>
  </si>
  <si>
    <t>gabriel.pereira25@exemplo.com</t>
  </si>
  <si>
    <t>Igor Lima</t>
  </si>
  <si>
    <t>20240026</t>
  </si>
  <si>
    <t>igor.lima26@exemplo.com</t>
  </si>
  <si>
    <t>20240027</t>
  </si>
  <si>
    <t>ana.silva27@exemplo.com</t>
  </si>
  <si>
    <t>Bruno Lima</t>
  </si>
  <si>
    <t>20240028</t>
  </si>
  <si>
    <t>bruno.lima28@exemplo.com</t>
  </si>
  <si>
    <t>Daniela Rodrigues</t>
  </si>
  <si>
    <t>20240029</t>
  </si>
  <si>
    <t>daniela.rodrigues29@exemplo.com</t>
  </si>
  <si>
    <t>Carlos Gomes</t>
  </si>
  <si>
    <t>20240030</t>
  </si>
  <si>
    <t>carlos.gomes30@exemplo.com</t>
  </si>
  <si>
    <t>Helena Ribeiro</t>
  </si>
  <si>
    <t>20240031</t>
  </si>
  <si>
    <t>helena.ribeiro31@exemplo.com</t>
  </si>
  <si>
    <t>20240032</t>
  </si>
  <si>
    <t>igor.pereira32@exemplo.com</t>
  </si>
  <si>
    <t>Igor Santos</t>
  </si>
  <si>
    <t>20240033</t>
  </si>
  <si>
    <t>igor.santos33@exemplo.com</t>
  </si>
  <si>
    <t>Daniela Pereira</t>
  </si>
  <si>
    <t>20240034</t>
  </si>
  <si>
    <t>daniela.pereira34@exemplo.com</t>
  </si>
  <si>
    <t>20240035</t>
  </si>
  <si>
    <t>daniela.pereira35@exemplo.com</t>
  </si>
  <si>
    <t>20240036</t>
  </si>
  <si>
    <t>carlos.gomes36@exemplo.com</t>
  </si>
  <si>
    <t>Daniela Oliveira</t>
  </si>
  <si>
    <t>20240037</t>
  </si>
  <si>
    <t>daniela.oliveira37@exemplo.com</t>
  </si>
  <si>
    <t>20240038</t>
  </si>
  <si>
    <t>gabriel.oliveira38@exemplo.com</t>
  </si>
  <si>
    <t>20240039</t>
  </si>
  <si>
    <t>ana.silva39@exemplo.com</t>
  </si>
  <si>
    <t>Gabriel Rodrigues</t>
  </si>
  <si>
    <t>20240040</t>
  </si>
  <si>
    <t>gabriel.rodrigues40@exemplo.com</t>
  </si>
  <si>
    <t>Fernanda Ribeiro</t>
  </si>
  <si>
    <t>20240041</t>
  </si>
  <si>
    <t>fernanda.ribeiro41@exemplo.com</t>
  </si>
  <si>
    <t>Juliana Lima</t>
  </si>
  <si>
    <t>20240042</t>
  </si>
  <si>
    <t>juliana.lima42@exemplo.com</t>
  </si>
  <si>
    <t>Juliana Santos</t>
  </si>
  <si>
    <t>20240043</t>
  </si>
  <si>
    <t>juliana.santos43@exemplo.com</t>
  </si>
  <si>
    <t>Carlos Ribeiro</t>
  </si>
  <si>
    <t>20240044</t>
  </si>
  <si>
    <t>carlos.ribeiro44@exemplo.com</t>
  </si>
  <si>
    <t>Gabriel Almeida</t>
  </si>
  <si>
    <t>20240045</t>
  </si>
  <si>
    <t>gabriel.almeida45@exemplo.com</t>
  </si>
  <si>
    <t>20240046</t>
  </si>
  <si>
    <t>igor.santos46@exemplo.com</t>
  </si>
  <si>
    <t>Fernanda Oliveira</t>
  </si>
  <si>
    <t>20240047</t>
  </si>
  <si>
    <t>fernanda.oliveira47@exemplo.com</t>
  </si>
  <si>
    <t>20240048</t>
  </si>
  <si>
    <t>helena.ribeiro48@exemplo.com</t>
  </si>
  <si>
    <t>Fernanda Lima</t>
  </si>
  <si>
    <t>20240049</t>
  </si>
  <si>
    <t>fernanda.lima49@exemplo.com</t>
  </si>
  <si>
    <t>20240050</t>
  </si>
  <si>
    <t>juliana.santos50@exemplo.com</t>
  </si>
  <si>
    <t>Ana Ribeiro</t>
  </si>
  <si>
    <t>20240051</t>
  </si>
  <si>
    <t>ana.ribeiro51@exemplo.com</t>
  </si>
  <si>
    <t>Juliana Silva</t>
  </si>
  <si>
    <t>20240052</t>
  </si>
  <si>
    <t>juliana.silva52@exemplo.com</t>
  </si>
  <si>
    <t>20240053</t>
  </si>
  <si>
    <t>gabriel.rodrigues53@exemplo.com</t>
  </si>
  <si>
    <t>Juliana Costa</t>
  </si>
  <si>
    <t>20240054</t>
  </si>
  <si>
    <t>juliana.costa54@exemplo.com</t>
  </si>
  <si>
    <t>Fernanda Costa</t>
  </si>
  <si>
    <t>20240055</t>
  </si>
  <si>
    <t>fernanda.costa55@exemplo.com</t>
  </si>
  <si>
    <t>20240056</t>
  </si>
  <si>
    <t>gabriel.almeida56@exemplo.com</t>
  </si>
  <si>
    <t>Fernanda Silva</t>
  </si>
  <si>
    <t>20240057</t>
  </si>
  <si>
    <t>fernanda.silva57@exemplo.com</t>
  </si>
  <si>
    <t>Juliana Ribeiro</t>
  </si>
  <si>
    <t>20240058</t>
  </si>
  <si>
    <t>juliana.ribeiro58@exemplo.com</t>
  </si>
  <si>
    <t>Igor Rodrigues</t>
  </si>
  <si>
    <t>20240059</t>
  </si>
  <si>
    <t>igor.rodrigues59@exemplo.com</t>
  </si>
  <si>
    <t>20240060</t>
  </si>
  <si>
    <t>igor.oliveira60@exemplo.com</t>
  </si>
  <si>
    <t>20240061</t>
  </si>
  <si>
    <t>carlos.almeida61@exemplo.com</t>
  </si>
  <si>
    <t>20240062</t>
  </si>
  <si>
    <t>helena.rodrigues62@exemplo.com</t>
  </si>
  <si>
    <t>20240063</t>
  </si>
  <si>
    <t>ana.pereira63@exemplo.com</t>
  </si>
  <si>
    <t>Carlos Costa</t>
  </si>
  <si>
    <t>20240064</t>
  </si>
  <si>
    <t>carlos.costa64@exemplo.com</t>
  </si>
  <si>
    <t>Daniela Santos</t>
  </si>
  <si>
    <t>20240065</t>
  </si>
  <si>
    <t>daniela.santos65@exemplo.com</t>
  </si>
  <si>
    <t>Bruno Santos</t>
  </si>
  <si>
    <t>20240066</t>
  </si>
  <si>
    <t>bruno.santos66@exemplo.com</t>
  </si>
  <si>
    <t>Juliana Almeida</t>
  </si>
  <si>
    <t>20240067</t>
  </si>
  <si>
    <t>juliana.almeida67@exemplo.com</t>
  </si>
  <si>
    <t>Juliana Pereira</t>
  </si>
  <si>
    <t>20240068</t>
  </si>
  <si>
    <t>juliana.pereira68@exemplo.com</t>
  </si>
  <si>
    <t>Fernanda Almeida</t>
  </si>
  <si>
    <t>20240069</t>
  </si>
  <si>
    <t>fernanda.almeida69@exemplo.com</t>
  </si>
  <si>
    <t>20240070</t>
  </si>
  <si>
    <t>helena.ribeiro70@exemplo.com</t>
  </si>
  <si>
    <t>20240071</t>
  </si>
  <si>
    <t>juliana.almeida71@exemplo.com</t>
  </si>
  <si>
    <t>Gabriel Lima</t>
  </si>
  <si>
    <t>20240072</t>
  </si>
  <si>
    <t>gabriel.lima72@exemplo.com</t>
  </si>
  <si>
    <t>Helena Silva</t>
  </si>
  <si>
    <t>20240073</t>
  </si>
  <si>
    <t>helena.silva73@exemplo.com</t>
  </si>
  <si>
    <t>Daniela Gomes</t>
  </si>
  <si>
    <t>20240074</t>
  </si>
  <si>
    <t>daniela.gomes74@exemplo.com</t>
  </si>
  <si>
    <t>Carlos Rodrigues</t>
  </si>
  <si>
    <t>20240075</t>
  </si>
  <si>
    <t>carlos.rodrigues75@exemplo.com</t>
  </si>
  <si>
    <t>Helena Pereira</t>
  </si>
  <si>
    <t>20240076</t>
  </si>
  <si>
    <t>helena.pereira76@exemplo.com</t>
  </si>
  <si>
    <t>20240077</t>
  </si>
  <si>
    <t>daniela.costa77@exemplo.com</t>
  </si>
  <si>
    <t>20240078</t>
  </si>
  <si>
    <t>fernanda.oliveira78@exemplo.com</t>
  </si>
  <si>
    <t>Eduardo Rodrigues</t>
  </si>
  <si>
    <t>20240079</t>
  </si>
  <si>
    <t>eduardo.rodrigues79@exemplo.com</t>
  </si>
  <si>
    <t>20240080</t>
  </si>
  <si>
    <t>igor.oliveira80@exemplo.com</t>
  </si>
  <si>
    <t>20240081</t>
  </si>
  <si>
    <t>daniela.silva81@exemplo.com</t>
  </si>
  <si>
    <t>Igor Gomes</t>
  </si>
  <si>
    <t>20240082</t>
  </si>
  <si>
    <t>igor.gomes82@exemplo.com</t>
  </si>
  <si>
    <t>Bruno Costa</t>
  </si>
  <si>
    <t>20240083</t>
  </si>
  <si>
    <t>bruno.costa83@exemplo.com</t>
  </si>
  <si>
    <t>20240084</t>
  </si>
  <si>
    <t>gabriel.oliveira84@exemplo.com</t>
  </si>
  <si>
    <t>Juliana Oliveira</t>
  </si>
  <si>
    <t>20240085</t>
  </si>
  <si>
    <t>juliana.oliveira85@exemplo.com</t>
  </si>
  <si>
    <t>20240086</t>
  </si>
  <si>
    <t>fernanda.costa86@exemplo.com</t>
  </si>
  <si>
    <t>Qdt. linhas</t>
  </si>
  <si>
    <t>Qtd. colunas</t>
  </si>
  <si>
    <t>Categóricas</t>
  </si>
  <si>
    <t>Numéricas</t>
  </si>
  <si>
    <t>Mediana</t>
  </si>
  <si>
    <t>Media</t>
  </si>
  <si>
    <t>Moda</t>
  </si>
  <si>
    <t>1 Quartil</t>
  </si>
  <si>
    <t>2 Quartil</t>
  </si>
  <si>
    <t>3 Quartil</t>
  </si>
  <si>
    <t>nome matricula email</t>
  </si>
  <si>
    <t>horas_e aulas_a faltas nota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</si>
</sst>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7"/>
  <sheetViews>
    <sheetView tabSelected="1" workbookViewId="0">
      <selection activeCell="L21" sqref="L21"/>
    </sheetView>
  </sheetViews>
  <sheetFormatPr defaultRowHeight="14.4" x14ac:dyDescent="0.55000000000000004"/>
  <cols>
    <col min="1" max="1" width="22.15625" bestFit="1" customWidth="1"/>
    <col min="2" max="2" width="11.578125" bestFit="1" customWidth="1"/>
    <col min="3" max="3" width="39.15625" bestFit="1" customWidth="1"/>
    <col min="4" max="4" width="15" bestFit="1" customWidth="1"/>
    <col min="5" max="5" width="18.26171875" bestFit="1" customWidth="1"/>
    <col min="6" max="6" width="6.578125" bestFit="1" customWidth="1"/>
    <col min="7" max="7" width="10.83984375" bestFit="1" customWidth="1"/>
    <col min="9" max="9" width="12.3671875" bestFit="1" customWidth="1"/>
    <col min="10" max="10" width="12.3125" bestFit="1" customWidth="1"/>
    <col min="11" max="11" width="20.578125" bestFit="1" customWidth="1"/>
    <col min="12" max="12" width="26.26171875" bestFit="1" customWidth="1"/>
  </cols>
  <sheetData>
    <row r="1" spans="1:12" ht="15.3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12" ht="15.3" x14ac:dyDescent="0.55000000000000004">
      <c r="A2" s="1" t="s">
        <v>7</v>
      </c>
      <c r="B2" s="1" t="s">
        <v>8</v>
      </c>
      <c r="C2" s="1" t="s">
        <v>9</v>
      </c>
      <c r="D2" s="1">
        <v>2</v>
      </c>
      <c r="E2" s="1">
        <v>40</v>
      </c>
      <c r="F2" s="1">
        <v>10</v>
      </c>
      <c r="G2" s="1">
        <v>45</v>
      </c>
      <c r="I2" s="1" t="s">
        <v>240</v>
      </c>
      <c r="J2" s="1" t="s">
        <v>241</v>
      </c>
      <c r="K2" s="1" t="s">
        <v>242</v>
      </c>
      <c r="L2" s="1" t="s">
        <v>243</v>
      </c>
    </row>
    <row r="3" spans="1:12" ht="15.3" x14ac:dyDescent="0.55000000000000004">
      <c r="A3" s="1" t="s">
        <v>10</v>
      </c>
      <c r="B3" s="1" t="s">
        <v>11</v>
      </c>
      <c r="C3" s="1" t="s">
        <v>12</v>
      </c>
      <c r="D3" s="1">
        <v>3</v>
      </c>
      <c r="E3" s="1">
        <v>45</v>
      </c>
      <c r="F3" s="1">
        <v>9</v>
      </c>
      <c r="G3" s="1">
        <v>48</v>
      </c>
      <c r="I3" s="1">
        <f>COUNTA(1:1)</f>
        <v>7</v>
      </c>
      <c r="J3" s="1">
        <f>COUNTA(B:B)</f>
        <v>87</v>
      </c>
      <c r="K3" s="1" t="s">
        <v>250</v>
      </c>
      <c r="L3" s="1" t="s">
        <v>251</v>
      </c>
    </row>
    <row r="4" spans="1:12" ht="15.3" x14ac:dyDescent="0.55000000000000004">
      <c r="A4" s="1" t="s">
        <v>13</v>
      </c>
      <c r="B4" s="1" t="s">
        <v>14</v>
      </c>
      <c r="C4" s="1" t="s">
        <v>15</v>
      </c>
      <c r="D4" s="1">
        <v>4</v>
      </c>
      <c r="E4" s="1">
        <v>50</v>
      </c>
      <c r="F4" s="1">
        <v>9</v>
      </c>
      <c r="G4" s="1">
        <v>50</v>
      </c>
      <c r="I4" s="1"/>
      <c r="J4" s="1"/>
      <c r="K4" s="1"/>
      <c r="L4" s="1"/>
    </row>
    <row r="5" spans="1:12" ht="15.3" x14ac:dyDescent="0.55000000000000004">
      <c r="A5" s="1" t="s">
        <v>16</v>
      </c>
      <c r="B5" s="1" t="s">
        <v>17</v>
      </c>
      <c r="C5" s="1" t="s">
        <v>18</v>
      </c>
      <c r="D5" s="1">
        <v>5</v>
      </c>
      <c r="E5" s="1">
        <v>55</v>
      </c>
      <c r="F5" s="1">
        <v>8</v>
      </c>
      <c r="G5" s="1">
        <v>53</v>
      </c>
      <c r="I5" s="1" t="s">
        <v>245</v>
      </c>
      <c r="J5" s="1" t="s">
        <v>244</v>
      </c>
      <c r="K5" s="1" t="s">
        <v>246</v>
      </c>
      <c r="L5" s="1"/>
    </row>
    <row r="6" spans="1:12" ht="15.3" x14ac:dyDescent="0.55000000000000004">
      <c r="A6" s="1" t="s">
        <v>19</v>
      </c>
      <c r="B6" s="1" t="s">
        <v>20</v>
      </c>
      <c r="C6" s="1" t="s">
        <v>21</v>
      </c>
      <c r="D6" s="1">
        <v>6</v>
      </c>
      <c r="E6" s="1">
        <v>58</v>
      </c>
      <c r="F6" s="1">
        <v>8</v>
      </c>
      <c r="G6" s="1">
        <v>56</v>
      </c>
      <c r="I6" s="1">
        <f>AVERAGE(G2:G87)</f>
        <v>73.674418604651166</v>
      </c>
      <c r="J6" s="1">
        <f>MEDIAN(G2:G87)</f>
        <v>74.5</v>
      </c>
      <c r="K6" s="1">
        <f>_xlfn.MODE.SNGL(G2:G87)</f>
        <v>79</v>
      </c>
      <c r="L6" s="1"/>
    </row>
    <row r="7" spans="1:12" ht="15.3" x14ac:dyDescent="0.55000000000000004">
      <c r="A7" s="1" t="s">
        <v>22</v>
      </c>
      <c r="B7" s="1" t="s">
        <v>23</v>
      </c>
      <c r="C7" s="1" t="s">
        <v>24</v>
      </c>
      <c r="D7" s="1">
        <v>7</v>
      </c>
      <c r="E7" s="1">
        <v>60</v>
      </c>
      <c r="F7" s="1">
        <v>7</v>
      </c>
      <c r="G7" s="1">
        <v>58</v>
      </c>
      <c r="I7" s="1"/>
      <c r="J7" s="1"/>
      <c r="K7" s="1"/>
      <c r="L7" s="1"/>
    </row>
    <row r="8" spans="1:12" ht="15.3" x14ac:dyDescent="0.55000000000000004">
      <c r="A8" s="1" t="s">
        <v>25</v>
      </c>
      <c r="B8" s="1" t="s">
        <v>26</v>
      </c>
      <c r="C8" s="1" t="s">
        <v>27</v>
      </c>
      <c r="D8" s="1">
        <v>8</v>
      </c>
      <c r="E8" s="1">
        <v>62</v>
      </c>
      <c r="F8" s="1">
        <v>7</v>
      </c>
      <c r="G8" s="1">
        <v>60</v>
      </c>
      <c r="I8" s="1" t="s">
        <v>247</v>
      </c>
      <c r="J8" s="1" t="s">
        <v>248</v>
      </c>
      <c r="K8" s="1" t="s">
        <v>249</v>
      </c>
      <c r="L8" s="1"/>
    </row>
    <row r="9" spans="1:12" ht="15.3" x14ac:dyDescent="0.55000000000000004">
      <c r="A9" s="1" t="s">
        <v>28</v>
      </c>
      <c r="B9" s="1" t="s">
        <v>29</v>
      </c>
      <c r="C9" s="1" t="s">
        <v>30</v>
      </c>
      <c r="D9" s="1">
        <v>9</v>
      </c>
      <c r="E9" s="1">
        <v>65</v>
      </c>
      <c r="F9" s="1">
        <v>6</v>
      </c>
      <c r="G9" s="1">
        <v>63</v>
      </c>
      <c r="I9" s="1">
        <f>_xlfn.QUARTILE.EXC(G2:G87,1)</f>
        <v>62.75</v>
      </c>
      <c r="J9" s="1">
        <f>_xlfn.QUARTILE.EXC(G2:G87,2)</f>
        <v>74.5</v>
      </c>
      <c r="K9" s="1">
        <f>_xlfn.QUARTILE.EXC(G2:G87,2)</f>
        <v>74.5</v>
      </c>
      <c r="L9" s="1"/>
    </row>
    <row r="10" spans="1:12" ht="15.3" x14ac:dyDescent="0.55000000000000004">
      <c r="A10" s="1" t="s">
        <v>31</v>
      </c>
      <c r="B10" s="1" t="s">
        <v>32</v>
      </c>
      <c r="C10" s="1" t="s">
        <v>33</v>
      </c>
      <c r="D10" s="1">
        <v>10</v>
      </c>
      <c r="E10" s="1">
        <v>68</v>
      </c>
      <c r="F10" s="1">
        <v>6</v>
      </c>
      <c r="G10" s="1">
        <v>66</v>
      </c>
    </row>
    <row r="11" spans="1:12" ht="15.3" x14ac:dyDescent="0.55000000000000004">
      <c r="A11" s="1" t="s">
        <v>34</v>
      </c>
      <c r="B11" s="1" t="s">
        <v>35</v>
      </c>
      <c r="C11" s="1" t="s">
        <v>36</v>
      </c>
      <c r="D11" s="1">
        <v>11</v>
      </c>
      <c r="E11" s="1">
        <v>70</v>
      </c>
      <c r="F11" s="1">
        <v>5</v>
      </c>
      <c r="G11" s="1">
        <v>68</v>
      </c>
    </row>
    <row r="12" spans="1:12" ht="15.3" x14ac:dyDescent="0.55000000000000004">
      <c r="A12" s="1" t="s">
        <v>37</v>
      </c>
      <c r="B12" s="1" t="s">
        <v>38</v>
      </c>
      <c r="C12" s="1" t="s">
        <v>39</v>
      </c>
      <c r="D12" s="1">
        <v>12</v>
      </c>
      <c r="E12" s="1">
        <v>72</v>
      </c>
      <c r="F12" s="1">
        <v>5</v>
      </c>
      <c r="G12" s="1">
        <v>70</v>
      </c>
    </row>
    <row r="13" spans="1:12" ht="15.3" x14ac:dyDescent="0.55000000000000004">
      <c r="A13" s="1" t="s">
        <v>40</v>
      </c>
      <c r="B13" s="1" t="s">
        <v>41</v>
      </c>
      <c r="C13" s="1" t="s">
        <v>42</v>
      </c>
      <c r="D13" s="1">
        <v>13</v>
      </c>
      <c r="E13" s="1">
        <v>74</v>
      </c>
      <c r="F13" s="1">
        <v>5</v>
      </c>
      <c r="G13" s="1">
        <v>72</v>
      </c>
    </row>
    <row r="14" spans="1:12" ht="15.3" x14ac:dyDescent="0.55000000000000004">
      <c r="A14" s="1" t="s">
        <v>43</v>
      </c>
      <c r="B14" s="1" t="s">
        <v>44</v>
      </c>
      <c r="C14" s="1" t="s">
        <v>45</v>
      </c>
      <c r="D14" s="1">
        <v>14</v>
      </c>
      <c r="E14" s="1">
        <v>76</v>
      </c>
      <c r="F14" s="1">
        <v>4</v>
      </c>
      <c r="G14" s="1">
        <v>74</v>
      </c>
    </row>
    <row r="15" spans="1:12" ht="15.3" x14ac:dyDescent="0.55000000000000004">
      <c r="A15" s="1" t="s">
        <v>46</v>
      </c>
      <c r="B15" s="1" t="s">
        <v>47</v>
      </c>
      <c r="C15" s="1" t="s">
        <v>48</v>
      </c>
      <c r="D15" s="1">
        <v>15</v>
      </c>
      <c r="E15" s="1">
        <v>78</v>
      </c>
      <c r="F15" s="1">
        <v>4</v>
      </c>
      <c r="G15" s="1">
        <v>76</v>
      </c>
    </row>
    <row r="16" spans="1:12" ht="15.3" x14ac:dyDescent="0.55000000000000004">
      <c r="A16" s="1" t="s">
        <v>49</v>
      </c>
      <c r="B16" s="1" t="s">
        <v>50</v>
      </c>
      <c r="C16" s="1" t="s">
        <v>51</v>
      </c>
      <c r="D16" s="1">
        <v>16</v>
      </c>
      <c r="E16" s="1">
        <v>80</v>
      </c>
      <c r="F16" s="1">
        <v>4</v>
      </c>
      <c r="G16" s="1">
        <v>78</v>
      </c>
    </row>
    <row r="17" spans="1:7" ht="15.3" x14ac:dyDescent="0.55000000000000004">
      <c r="A17" s="1" t="s">
        <v>52</v>
      </c>
      <c r="B17" s="1" t="s">
        <v>53</v>
      </c>
      <c r="C17" s="1" t="s">
        <v>54</v>
      </c>
      <c r="D17" s="1">
        <v>17</v>
      </c>
      <c r="E17" s="1">
        <v>82</v>
      </c>
      <c r="F17" s="1">
        <v>3</v>
      </c>
      <c r="G17" s="1">
        <v>80</v>
      </c>
    </row>
    <row r="18" spans="1:7" ht="15.3" x14ac:dyDescent="0.55000000000000004">
      <c r="A18" s="1" t="s">
        <v>55</v>
      </c>
      <c r="B18" s="1" t="s">
        <v>56</v>
      </c>
      <c r="C18" s="1" t="s">
        <v>57</v>
      </c>
      <c r="D18" s="1">
        <v>18</v>
      </c>
      <c r="E18" s="1">
        <v>84</v>
      </c>
      <c r="F18" s="1">
        <v>3</v>
      </c>
      <c r="G18" s="1">
        <v>82</v>
      </c>
    </row>
    <row r="19" spans="1:7" ht="15.3" x14ac:dyDescent="0.55000000000000004">
      <c r="A19" s="1" t="s">
        <v>58</v>
      </c>
      <c r="B19" s="1" t="s">
        <v>59</v>
      </c>
      <c r="C19" s="1" t="s">
        <v>60</v>
      </c>
      <c r="D19" s="1">
        <v>19</v>
      </c>
      <c r="E19" s="1">
        <v>86</v>
      </c>
      <c r="F19" s="1">
        <v>3</v>
      </c>
      <c r="G19" s="1">
        <v>84</v>
      </c>
    </row>
    <row r="20" spans="1:7" ht="15.3" x14ac:dyDescent="0.55000000000000004">
      <c r="A20" s="1" t="s">
        <v>61</v>
      </c>
      <c r="B20" s="1" t="s">
        <v>62</v>
      </c>
      <c r="C20" s="1" t="s">
        <v>63</v>
      </c>
      <c r="D20" s="1">
        <v>20</v>
      </c>
      <c r="E20" s="1">
        <v>88</v>
      </c>
      <c r="F20" s="1">
        <v>2</v>
      </c>
      <c r="G20" s="1">
        <v>86</v>
      </c>
    </row>
    <row r="21" spans="1:7" ht="15.3" x14ac:dyDescent="0.55000000000000004">
      <c r="A21" s="1" t="s">
        <v>25</v>
      </c>
      <c r="B21" s="1" t="s">
        <v>64</v>
      </c>
      <c r="C21" s="1" t="s">
        <v>65</v>
      </c>
      <c r="D21" s="1">
        <v>21</v>
      </c>
      <c r="E21" s="1">
        <v>90</v>
      </c>
      <c r="F21" s="1">
        <v>2</v>
      </c>
      <c r="G21" s="1">
        <v>88</v>
      </c>
    </row>
    <row r="22" spans="1:7" ht="15.3" x14ac:dyDescent="0.55000000000000004">
      <c r="A22" s="1" t="s">
        <v>31</v>
      </c>
      <c r="B22" s="1" t="s">
        <v>66</v>
      </c>
      <c r="C22" s="1" t="s">
        <v>67</v>
      </c>
      <c r="D22" s="1">
        <v>22</v>
      </c>
      <c r="E22" s="1">
        <v>92</v>
      </c>
      <c r="F22" s="1">
        <v>2</v>
      </c>
      <c r="G22" s="1">
        <v>90</v>
      </c>
    </row>
    <row r="23" spans="1:7" ht="15.3" x14ac:dyDescent="0.55000000000000004">
      <c r="A23" s="1" t="s">
        <v>68</v>
      </c>
      <c r="B23" s="1" t="s">
        <v>69</v>
      </c>
      <c r="C23" s="1" t="s">
        <v>70</v>
      </c>
      <c r="D23" s="1">
        <v>23</v>
      </c>
      <c r="E23" s="1">
        <v>94</v>
      </c>
      <c r="F23" s="1">
        <v>1</v>
      </c>
      <c r="G23" s="1">
        <v>92</v>
      </c>
    </row>
    <row r="24" spans="1:7" ht="15.3" x14ac:dyDescent="0.55000000000000004">
      <c r="A24" s="1" t="s">
        <v>71</v>
      </c>
      <c r="B24" s="1" t="s">
        <v>72</v>
      </c>
      <c r="C24" s="1" t="s">
        <v>73</v>
      </c>
      <c r="D24" s="1">
        <v>24</v>
      </c>
      <c r="E24" s="1">
        <v>96</v>
      </c>
      <c r="F24" s="1">
        <v>1</v>
      </c>
      <c r="G24" s="1">
        <v>94</v>
      </c>
    </row>
    <row r="25" spans="1:7" ht="15.3" x14ac:dyDescent="0.55000000000000004">
      <c r="A25" s="1" t="s">
        <v>74</v>
      </c>
      <c r="B25" s="1" t="s">
        <v>75</v>
      </c>
      <c r="C25" s="1" t="s">
        <v>76</v>
      </c>
      <c r="D25" s="1">
        <v>25</v>
      </c>
      <c r="E25" s="1">
        <v>98</v>
      </c>
      <c r="F25" s="1">
        <v>1</v>
      </c>
      <c r="G25" s="1">
        <v>96</v>
      </c>
    </row>
    <row r="26" spans="1:7" ht="15.3" x14ac:dyDescent="0.55000000000000004">
      <c r="A26" s="1" t="s">
        <v>77</v>
      </c>
      <c r="B26" s="1" t="s">
        <v>78</v>
      </c>
      <c r="C26" s="1" t="s">
        <v>79</v>
      </c>
      <c r="D26" s="1">
        <v>26</v>
      </c>
      <c r="E26" s="1">
        <v>100</v>
      </c>
      <c r="F26" s="1">
        <v>0</v>
      </c>
      <c r="G26" s="1">
        <v>98</v>
      </c>
    </row>
    <row r="27" spans="1:7" ht="15.3" x14ac:dyDescent="0.55000000000000004">
      <c r="A27" s="1" t="s">
        <v>80</v>
      </c>
      <c r="B27" s="1" t="s">
        <v>81</v>
      </c>
      <c r="C27" s="1" t="s">
        <v>82</v>
      </c>
      <c r="D27" s="1">
        <v>3</v>
      </c>
      <c r="E27" s="1">
        <v>42</v>
      </c>
      <c r="F27" s="1">
        <v>10</v>
      </c>
      <c r="G27" s="1">
        <v>46</v>
      </c>
    </row>
    <row r="28" spans="1:7" ht="15.3" x14ac:dyDescent="0.55000000000000004">
      <c r="A28" s="1" t="s">
        <v>16</v>
      </c>
      <c r="B28" s="1" t="s">
        <v>83</v>
      </c>
      <c r="C28" s="1" t="s">
        <v>84</v>
      </c>
      <c r="D28" s="1">
        <v>4</v>
      </c>
      <c r="E28" s="1">
        <v>47</v>
      </c>
      <c r="F28" s="1">
        <v>9</v>
      </c>
      <c r="G28" s="1">
        <v>49</v>
      </c>
    </row>
    <row r="29" spans="1:7" ht="15.3" x14ac:dyDescent="0.55000000000000004">
      <c r="A29" s="1" t="s">
        <v>85</v>
      </c>
      <c r="B29" s="1" t="s">
        <v>86</v>
      </c>
      <c r="C29" s="1" t="s">
        <v>87</v>
      </c>
      <c r="D29" s="1">
        <v>5</v>
      </c>
      <c r="E29" s="1">
        <v>52</v>
      </c>
      <c r="F29" s="1">
        <v>8</v>
      </c>
      <c r="G29" s="1">
        <v>52</v>
      </c>
    </row>
    <row r="30" spans="1:7" ht="15.3" x14ac:dyDescent="0.55000000000000004">
      <c r="A30" s="1" t="s">
        <v>88</v>
      </c>
      <c r="B30" s="1" t="s">
        <v>89</v>
      </c>
      <c r="C30" s="1" t="s">
        <v>90</v>
      </c>
      <c r="D30" s="1">
        <v>6</v>
      </c>
      <c r="E30" s="1">
        <v>56</v>
      </c>
      <c r="F30" s="1">
        <v>8</v>
      </c>
      <c r="G30" s="1">
        <v>55</v>
      </c>
    </row>
    <row r="31" spans="1:7" ht="15.3" x14ac:dyDescent="0.55000000000000004">
      <c r="A31" s="1" t="s">
        <v>91</v>
      </c>
      <c r="B31" s="1" t="s">
        <v>92</v>
      </c>
      <c r="C31" s="1" t="s">
        <v>93</v>
      </c>
      <c r="D31" s="1">
        <v>7</v>
      </c>
      <c r="E31" s="1">
        <v>59</v>
      </c>
      <c r="F31" s="1">
        <v>7</v>
      </c>
      <c r="G31" s="1">
        <v>57</v>
      </c>
    </row>
    <row r="32" spans="1:7" ht="15.3" x14ac:dyDescent="0.55000000000000004">
      <c r="A32" s="1" t="s">
        <v>94</v>
      </c>
      <c r="B32" s="1" t="s">
        <v>95</v>
      </c>
      <c r="C32" s="1" t="s">
        <v>96</v>
      </c>
      <c r="D32" s="1">
        <v>8</v>
      </c>
      <c r="E32" s="1">
        <v>61</v>
      </c>
      <c r="F32" s="1">
        <v>7</v>
      </c>
      <c r="G32" s="1">
        <v>59</v>
      </c>
    </row>
    <row r="33" spans="1:7" ht="15.3" x14ac:dyDescent="0.55000000000000004">
      <c r="A33" s="1" t="s">
        <v>22</v>
      </c>
      <c r="B33" s="1" t="s">
        <v>97</v>
      </c>
      <c r="C33" s="1" t="s">
        <v>98</v>
      </c>
      <c r="D33" s="1">
        <v>9</v>
      </c>
      <c r="E33" s="1">
        <v>64</v>
      </c>
      <c r="F33" s="1">
        <v>6</v>
      </c>
      <c r="G33" s="1">
        <v>62</v>
      </c>
    </row>
    <row r="34" spans="1:7" ht="15.3" x14ac:dyDescent="0.55000000000000004">
      <c r="A34" s="1" t="s">
        <v>99</v>
      </c>
      <c r="B34" s="1" t="s">
        <v>100</v>
      </c>
      <c r="C34" s="1" t="s">
        <v>101</v>
      </c>
      <c r="D34" s="1">
        <v>10</v>
      </c>
      <c r="E34" s="1">
        <v>67</v>
      </c>
      <c r="F34" s="1">
        <v>6</v>
      </c>
      <c r="G34" s="1">
        <v>65</v>
      </c>
    </row>
    <row r="35" spans="1:7" ht="15.3" x14ac:dyDescent="0.55000000000000004">
      <c r="A35" s="1" t="s">
        <v>102</v>
      </c>
      <c r="B35" s="1" t="s">
        <v>103</v>
      </c>
      <c r="C35" s="1" t="s">
        <v>104</v>
      </c>
      <c r="D35" s="1">
        <v>11</v>
      </c>
      <c r="E35" s="1">
        <v>69</v>
      </c>
      <c r="F35" s="1">
        <v>5</v>
      </c>
      <c r="G35" s="1">
        <v>67</v>
      </c>
    </row>
    <row r="36" spans="1:7" ht="15.3" x14ac:dyDescent="0.55000000000000004">
      <c r="A36" s="1" t="s">
        <v>102</v>
      </c>
      <c r="B36" s="1" t="s">
        <v>105</v>
      </c>
      <c r="C36" s="1" t="s">
        <v>106</v>
      </c>
      <c r="D36" s="1">
        <v>12</v>
      </c>
      <c r="E36" s="1">
        <v>71</v>
      </c>
      <c r="F36" s="1">
        <v>5</v>
      </c>
      <c r="G36" s="1">
        <v>69</v>
      </c>
    </row>
    <row r="37" spans="1:7" ht="15.3" x14ac:dyDescent="0.55000000000000004">
      <c r="A37" s="1" t="s">
        <v>91</v>
      </c>
      <c r="B37" s="1" t="s">
        <v>107</v>
      </c>
      <c r="C37" s="1" t="s">
        <v>108</v>
      </c>
      <c r="D37" s="1">
        <v>13</v>
      </c>
      <c r="E37" s="1">
        <v>73</v>
      </c>
      <c r="F37" s="1">
        <v>5</v>
      </c>
      <c r="G37" s="1">
        <v>71</v>
      </c>
    </row>
    <row r="38" spans="1:7" ht="15.3" x14ac:dyDescent="0.55000000000000004">
      <c r="A38" s="1" t="s">
        <v>109</v>
      </c>
      <c r="B38" s="1" t="s">
        <v>110</v>
      </c>
      <c r="C38" s="1" t="s">
        <v>111</v>
      </c>
      <c r="D38" s="1">
        <v>14</v>
      </c>
      <c r="E38" s="1">
        <v>75</v>
      </c>
      <c r="F38" s="1">
        <v>4</v>
      </c>
      <c r="G38" s="1">
        <v>73</v>
      </c>
    </row>
    <row r="39" spans="1:7" ht="15.3" x14ac:dyDescent="0.55000000000000004">
      <c r="A39" s="1" t="s">
        <v>10</v>
      </c>
      <c r="B39" s="1" t="s">
        <v>112</v>
      </c>
      <c r="C39" s="1" t="s">
        <v>113</v>
      </c>
      <c r="D39" s="1">
        <v>15</v>
      </c>
      <c r="E39" s="1">
        <v>77</v>
      </c>
      <c r="F39" s="1">
        <v>4</v>
      </c>
      <c r="G39" s="1">
        <v>75</v>
      </c>
    </row>
    <row r="40" spans="1:7" ht="15.3" x14ac:dyDescent="0.55000000000000004">
      <c r="A40" s="1" t="s">
        <v>16</v>
      </c>
      <c r="B40" s="1" t="s">
        <v>114</v>
      </c>
      <c r="C40" s="1" t="s">
        <v>115</v>
      </c>
      <c r="D40" s="1">
        <v>16</v>
      </c>
      <c r="E40" s="1">
        <v>79</v>
      </c>
      <c r="F40" s="1">
        <v>4</v>
      </c>
      <c r="G40" s="1">
        <v>77</v>
      </c>
    </row>
    <row r="41" spans="1:7" ht="15.3" x14ac:dyDescent="0.55000000000000004">
      <c r="A41" s="1" t="s">
        <v>116</v>
      </c>
      <c r="B41" s="1" t="s">
        <v>117</v>
      </c>
      <c r="C41" s="1" t="s">
        <v>118</v>
      </c>
      <c r="D41" s="1">
        <v>17</v>
      </c>
      <c r="E41" s="1">
        <v>81</v>
      </c>
      <c r="F41" s="1">
        <v>3</v>
      </c>
      <c r="G41" s="1">
        <v>79</v>
      </c>
    </row>
    <row r="42" spans="1:7" ht="15.3" x14ac:dyDescent="0.55000000000000004">
      <c r="A42" s="1" t="s">
        <v>119</v>
      </c>
      <c r="B42" s="1" t="s">
        <v>120</v>
      </c>
      <c r="C42" s="1" t="s">
        <v>121</v>
      </c>
      <c r="D42" s="1">
        <v>18</v>
      </c>
      <c r="E42" s="1">
        <v>83</v>
      </c>
      <c r="F42" s="1">
        <v>3</v>
      </c>
      <c r="G42" s="1">
        <v>81</v>
      </c>
    </row>
    <row r="43" spans="1:7" ht="15.3" x14ac:dyDescent="0.55000000000000004">
      <c r="A43" s="1" t="s">
        <v>122</v>
      </c>
      <c r="B43" s="1" t="s">
        <v>123</v>
      </c>
      <c r="C43" s="1" t="s">
        <v>124</v>
      </c>
      <c r="D43" s="1">
        <v>19</v>
      </c>
      <c r="E43" s="1">
        <v>85</v>
      </c>
      <c r="F43" s="1">
        <v>3</v>
      </c>
      <c r="G43" s="1">
        <v>83</v>
      </c>
    </row>
    <row r="44" spans="1:7" ht="15.3" x14ac:dyDescent="0.55000000000000004">
      <c r="A44" s="1" t="s">
        <v>125</v>
      </c>
      <c r="B44" s="1" t="s">
        <v>126</v>
      </c>
      <c r="C44" s="1" t="s">
        <v>127</v>
      </c>
      <c r="D44" s="1">
        <v>20</v>
      </c>
      <c r="E44" s="1">
        <v>87</v>
      </c>
      <c r="F44" s="1">
        <v>2</v>
      </c>
      <c r="G44" s="1">
        <v>85</v>
      </c>
    </row>
    <row r="45" spans="1:7" ht="15.3" x14ac:dyDescent="0.55000000000000004">
      <c r="A45" s="1" t="s">
        <v>128</v>
      </c>
      <c r="B45" s="1" t="s">
        <v>129</v>
      </c>
      <c r="C45" s="1" t="s">
        <v>130</v>
      </c>
      <c r="D45" s="1">
        <v>21</v>
      </c>
      <c r="E45" s="1">
        <v>89</v>
      </c>
      <c r="F45" s="1">
        <v>2</v>
      </c>
      <c r="G45" s="1">
        <v>87</v>
      </c>
    </row>
    <row r="46" spans="1:7" ht="15.3" x14ac:dyDescent="0.55000000000000004">
      <c r="A46" s="1" t="s">
        <v>131</v>
      </c>
      <c r="B46" s="1" t="s">
        <v>132</v>
      </c>
      <c r="C46" s="1" t="s">
        <v>133</v>
      </c>
      <c r="D46" s="1">
        <v>22</v>
      </c>
      <c r="E46" s="1">
        <v>91</v>
      </c>
      <c r="F46" s="1">
        <v>2</v>
      </c>
      <c r="G46" s="1">
        <v>89</v>
      </c>
    </row>
    <row r="47" spans="1:7" ht="15.3" x14ac:dyDescent="0.55000000000000004">
      <c r="A47" s="1" t="s">
        <v>99</v>
      </c>
      <c r="B47" s="1" t="s">
        <v>134</v>
      </c>
      <c r="C47" s="1" t="s">
        <v>135</v>
      </c>
      <c r="D47" s="1">
        <v>23</v>
      </c>
      <c r="E47" s="1">
        <v>93</v>
      </c>
      <c r="F47" s="1">
        <v>1</v>
      </c>
      <c r="G47" s="1">
        <v>91</v>
      </c>
    </row>
    <row r="48" spans="1:7" ht="15.3" x14ac:dyDescent="0.55000000000000004">
      <c r="A48" s="1" t="s">
        <v>136</v>
      </c>
      <c r="B48" s="1" t="s">
        <v>137</v>
      </c>
      <c r="C48" s="1" t="s">
        <v>138</v>
      </c>
      <c r="D48" s="1">
        <v>24</v>
      </c>
      <c r="E48" s="1">
        <v>95</v>
      </c>
      <c r="F48" s="1">
        <v>1</v>
      </c>
      <c r="G48" s="1">
        <v>93</v>
      </c>
    </row>
    <row r="49" spans="1:7" ht="15.3" x14ac:dyDescent="0.55000000000000004">
      <c r="A49" s="1" t="s">
        <v>94</v>
      </c>
      <c r="B49" s="1" t="s">
        <v>139</v>
      </c>
      <c r="C49" s="1" t="s">
        <v>140</v>
      </c>
      <c r="D49" s="1">
        <v>25</v>
      </c>
      <c r="E49" s="1">
        <v>97</v>
      </c>
      <c r="F49" s="1">
        <v>1</v>
      </c>
      <c r="G49" s="1">
        <v>95</v>
      </c>
    </row>
    <row r="50" spans="1:7" ht="15.3" x14ac:dyDescent="0.55000000000000004">
      <c r="A50" s="1" t="s">
        <v>141</v>
      </c>
      <c r="B50" s="1" t="s">
        <v>142</v>
      </c>
      <c r="C50" s="1" t="s">
        <v>143</v>
      </c>
      <c r="D50" s="1">
        <v>5</v>
      </c>
      <c r="E50" s="1">
        <v>60</v>
      </c>
      <c r="F50" s="1">
        <v>8</v>
      </c>
      <c r="G50" s="1">
        <v>55</v>
      </c>
    </row>
    <row r="51" spans="1:7" ht="15.3" x14ac:dyDescent="0.55000000000000004">
      <c r="A51" s="1" t="s">
        <v>125</v>
      </c>
      <c r="B51" s="1" t="s">
        <v>144</v>
      </c>
      <c r="C51" s="1" t="s">
        <v>145</v>
      </c>
      <c r="D51" s="1">
        <v>6</v>
      </c>
      <c r="E51" s="1">
        <v>62</v>
      </c>
      <c r="F51" s="1">
        <v>8</v>
      </c>
      <c r="G51" s="1">
        <v>57</v>
      </c>
    </row>
    <row r="52" spans="1:7" ht="15.3" x14ac:dyDescent="0.55000000000000004">
      <c r="A52" s="1" t="s">
        <v>146</v>
      </c>
      <c r="B52" s="1" t="s">
        <v>147</v>
      </c>
      <c r="C52" s="1" t="s">
        <v>148</v>
      </c>
      <c r="D52" s="1">
        <v>7</v>
      </c>
      <c r="E52" s="1">
        <v>64</v>
      </c>
      <c r="F52" s="1">
        <v>7</v>
      </c>
      <c r="G52" s="1">
        <v>59</v>
      </c>
    </row>
    <row r="53" spans="1:7" ht="15.3" x14ac:dyDescent="0.55000000000000004">
      <c r="A53" s="1" t="s">
        <v>149</v>
      </c>
      <c r="B53" s="1" t="s">
        <v>150</v>
      </c>
      <c r="C53" s="1" t="s">
        <v>151</v>
      </c>
      <c r="D53" s="1">
        <v>8</v>
      </c>
      <c r="E53" s="1">
        <v>66</v>
      </c>
      <c r="F53" s="1">
        <v>7</v>
      </c>
      <c r="G53" s="1">
        <v>61</v>
      </c>
    </row>
    <row r="54" spans="1:7" ht="15.3" x14ac:dyDescent="0.55000000000000004">
      <c r="A54" s="1" t="s">
        <v>116</v>
      </c>
      <c r="B54" s="1" t="s">
        <v>152</v>
      </c>
      <c r="C54" s="1" t="s">
        <v>153</v>
      </c>
      <c r="D54" s="1">
        <v>9</v>
      </c>
      <c r="E54" s="1">
        <v>68</v>
      </c>
      <c r="F54" s="1">
        <v>6</v>
      </c>
      <c r="G54" s="1">
        <v>64</v>
      </c>
    </row>
    <row r="55" spans="1:7" ht="15.3" x14ac:dyDescent="0.55000000000000004">
      <c r="A55" s="1" t="s">
        <v>154</v>
      </c>
      <c r="B55" s="1" t="s">
        <v>155</v>
      </c>
      <c r="C55" s="1" t="s">
        <v>156</v>
      </c>
      <c r="D55" s="1">
        <v>10</v>
      </c>
      <c r="E55" s="1">
        <v>70</v>
      </c>
      <c r="F55" s="1">
        <v>6</v>
      </c>
      <c r="G55" s="1">
        <v>66</v>
      </c>
    </row>
    <row r="56" spans="1:7" ht="15.3" x14ac:dyDescent="0.55000000000000004">
      <c r="A56" s="1" t="s">
        <v>157</v>
      </c>
      <c r="B56" s="1" t="s">
        <v>158</v>
      </c>
      <c r="C56" s="1" t="s">
        <v>159</v>
      </c>
      <c r="D56" s="1">
        <v>11</v>
      </c>
      <c r="E56" s="1">
        <v>72</v>
      </c>
      <c r="F56" s="1">
        <v>5</v>
      </c>
      <c r="G56" s="1">
        <v>69</v>
      </c>
    </row>
    <row r="57" spans="1:7" ht="15.3" x14ac:dyDescent="0.55000000000000004">
      <c r="A57" s="1" t="s">
        <v>131</v>
      </c>
      <c r="B57" s="1" t="s">
        <v>160</v>
      </c>
      <c r="C57" s="1" t="s">
        <v>161</v>
      </c>
      <c r="D57" s="1">
        <v>12</v>
      </c>
      <c r="E57" s="1">
        <v>74</v>
      </c>
      <c r="F57" s="1">
        <v>5</v>
      </c>
      <c r="G57" s="1">
        <v>71</v>
      </c>
    </row>
    <row r="58" spans="1:7" ht="15.3" x14ac:dyDescent="0.55000000000000004">
      <c r="A58" s="1" t="s">
        <v>162</v>
      </c>
      <c r="B58" s="1" t="s">
        <v>163</v>
      </c>
      <c r="C58" s="1" t="s">
        <v>164</v>
      </c>
      <c r="D58" s="1">
        <v>13</v>
      </c>
      <c r="E58" s="1">
        <v>76</v>
      </c>
      <c r="F58" s="1">
        <v>5</v>
      </c>
      <c r="G58" s="1">
        <v>73</v>
      </c>
    </row>
    <row r="59" spans="1:7" ht="15.3" x14ac:dyDescent="0.55000000000000004">
      <c r="A59" s="1" t="s">
        <v>165</v>
      </c>
      <c r="B59" s="1" t="s">
        <v>166</v>
      </c>
      <c r="C59" s="1" t="s">
        <v>167</v>
      </c>
      <c r="D59" s="1">
        <v>14</v>
      </c>
      <c r="E59" s="1">
        <v>78</v>
      </c>
      <c r="F59" s="1">
        <v>4</v>
      </c>
      <c r="G59" s="1">
        <v>75</v>
      </c>
    </row>
    <row r="60" spans="1:7" ht="15.3" x14ac:dyDescent="0.55000000000000004">
      <c r="A60" s="1" t="s">
        <v>168</v>
      </c>
      <c r="B60" s="1" t="s">
        <v>169</v>
      </c>
      <c r="C60" s="1" t="s">
        <v>170</v>
      </c>
      <c r="D60" s="1">
        <v>15</v>
      </c>
      <c r="E60" s="1">
        <v>80</v>
      </c>
      <c r="F60" s="1">
        <v>4</v>
      </c>
      <c r="G60" s="1">
        <v>77</v>
      </c>
    </row>
    <row r="61" spans="1:7" ht="15.3" x14ac:dyDescent="0.55000000000000004">
      <c r="A61" s="1" t="s">
        <v>52</v>
      </c>
      <c r="B61" s="1" t="s">
        <v>171</v>
      </c>
      <c r="C61" s="1" t="s">
        <v>172</v>
      </c>
      <c r="D61" s="1">
        <v>16</v>
      </c>
      <c r="E61" s="1">
        <v>82</v>
      </c>
      <c r="F61" s="1">
        <v>4</v>
      </c>
      <c r="G61" s="1">
        <v>79</v>
      </c>
    </row>
    <row r="62" spans="1:7" ht="15.3" x14ac:dyDescent="0.55000000000000004">
      <c r="A62" s="1" t="s">
        <v>28</v>
      </c>
      <c r="B62" s="1" t="s">
        <v>173</v>
      </c>
      <c r="C62" s="1" t="s">
        <v>174</v>
      </c>
      <c r="D62" s="1">
        <v>17</v>
      </c>
      <c r="E62" s="1">
        <v>84</v>
      </c>
      <c r="F62" s="1">
        <v>3</v>
      </c>
      <c r="G62" s="1">
        <v>81</v>
      </c>
    </row>
    <row r="63" spans="1:7" ht="15.3" x14ac:dyDescent="0.55000000000000004">
      <c r="A63" s="1" t="s">
        <v>31</v>
      </c>
      <c r="B63" s="1" t="s">
        <v>175</v>
      </c>
      <c r="C63" s="1" t="s">
        <v>176</v>
      </c>
      <c r="D63" s="1">
        <v>18</v>
      </c>
      <c r="E63" s="1">
        <v>86</v>
      </c>
      <c r="F63" s="1">
        <v>3</v>
      </c>
      <c r="G63" s="1">
        <v>83</v>
      </c>
    </row>
    <row r="64" spans="1:7" ht="15.3" x14ac:dyDescent="0.55000000000000004">
      <c r="A64" s="1" t="s">
        <v>61</v>
      </c>
      <c r="B64" s="1" t="s">
        <v>177</v>
      </c>
      <c r="C64" s="1" t="s">
        <v>178</v>
      </c>
      <c r="D64" s="1">
        <v>19</v>
      </c>
      <c r="E64" s="1">
        <v>88</v>
      </c>
      <c r="F64" s="1">
        <v>3</v>
      </c>
      <c r="G64" s="1">
        <v>85</v>
      </c>
    </row>
    <row r="65" spans="1:7" ht="15.3" x14ac:dyDescent="0.55000000000000004">
      <c r="A65" s="1" t="s">
        <v>179</v>
      </c>
      <c r="B65" s="1" t="s">
        <v>180</v>
      </c>
      <c r="C65" s="1" t="s">
        <v>181</v>
      </c>
      <c r="D65" s="1">
        <v>20</v>
      </c>
      <c r="E65" s="1">
        <v>90</v>
      </c>
      <c r="F65" s="1">
        <v>2</v>
      </c>
      <c r="G65" s="1">
        <v>87</v>
      </c>
    </row>
    <row r="66" spans="1:7" ht="15.3" x14ac:dyDescent="0.55000000000000004">
      <c r="A66" s="1" t="s">
        <v>182</v>
      </c>
      <c r="B66" s="1" t="s">
        <v>183</v>
      </c>
      <c r="C66" s="1" t="s">
        <v>184</v>
      </c>
      <c r="D66" s="1">
        <v>21</v>
      </c>
      <c r="E66" s="1">
        <v>92</v>
      </c>
      <c r="F66" s="1">
        <v>2</v>
      </c>
      <c r="G66" s="1">
        <v>89</v>
      </c>
    </row>
    <row r="67" spans="1:7" ht="15.3" x14ac:dyDescent="0.55000000000000004">
      <c r="A67" s="1" t="s">
        <v>185</v>
      </c>
      <c r="B67" s="1" t="s">
        <v>186</v>
      </c>
      <c r="C67" s="1" t="s">
        <v>187</v>
      </c>
      <c r="D67" s="1">
        <v>22</v>
      </c>
      <c r="E67" s="1">
        <v>94</v>
      </c>
      <c r="F67" s="1">
        <v>2</v>
      </c>
      <c r="G67" s="1">
        <v>91</v>
      </c>
    </row>
    <row r="68" spans="1:7" ht="15.3" x14ac:dyDescent="0.55000000000000004">
      <c r="A68" s="1" t="s">
        <v>188</v>
      </c>
      <c r="B68" s="1" t="s">
        <v>189</v>
      </c>
      <c r="C68" s="1" t="s">
        <v>190</v>
      </c>
      <c r="D68" s="1">
        <v>23</v>
      </c>
      <c r="E68" s="1">
        <v>96</v>
      </c>
      <c r="F68" s="1">
        <v>1</v>
      </c>
      <c r="G68" s="1">
        <v>93</v>
      </c>
    </row>
    <row r="69" spans="1:7" ht="15.3" x14ac:dyDescent="0.55000000000000004">
      <c r="A69" s="1" t="s">
        <v>191</v>
      </c>
      <c r="B69" s="1" t="s">
        <v>192</v>
      </c>
      <c r="C69" s="1" t="s">
        <v>193</v>
      </c>
      <c r="D69" s="1">
        <v>24</v>
      </c>
      <c r="E69" s="1">
        <v>98</v>
      </c>
      <c r="F69" s="1">
        <v>1</v>
      </c>
      <c r="G69" s="1">
        <v>95</v>
      </c>
    </row>
    <row r="70" spans="1:7" ht="15.3" x14ac:dyDescent="0.55000000000000004">
      <c r="A70" s="1" t="s">
        <v>194</v>
      </c>
      <c r="B70" s="1" t="s">
        <v>195</v>
      </c>
      <c r="C70" s="1" t="s">
        <v>196</v>
      </c>
      <c r="D70" s="1">
        <v>4</v>
      </c>
      <c r="E70" s="1">
        <v>54</v>
      </c>
      <c r="F70" s="1">
        <v>9</v>
      </c>
      <c r="G70" s="1">
        <v>51</v>
      </c>
    </row>
    <row r="71" spans="1:7" ht="15.3" x14ac:dyDescent="0.55000000000000004">
      <c r="A71" s="1" t="s">
        <v>94</v>
      </c>
      <c r="B71" s="1" t="s">
        <v>197</v>
      </c>
      <c r="C71" s="1" t="s">
        <v>198</v>
      </c>
      <c r="D71" s="1">
        <v>6</v>
      </c>
      <c r="E71" s="1">
        <v>59</v>
      </c>
      <c r="F71" s="1">
        <v>8</v>
      </c>
      <c r="G71" s="1">
        <v>56</v>
      </c>
    </row>
    <row r="72" spans="1:7" ht="15.3" x14ac:dyDescent="0.55000000000000004">
      <c r="A72" s="1" t="s">
        <v>188</v>
      </c>
      <c r="B72" s="1" t="s">
        <v>199</v>
      </c>
      <c r="C72" s="1" t="s">
        <v>200</v>
      </c>
      <c r="D72" s="1">
        <v>8</v>
      </c>
      <c r="E72" s="1">
        <v>63</v>
      </c>
      <c r="F72" s="1">
        <v>7</v>
      </c>
      <c r="G72" s="1">
        <v>60</v>
      </c>
    </row>
    <row r="73" spans="1:7" ht="15.3" x14ac:dyDescent="0.55000000000000004">
      <c r="A73" s="1" t="s">
        <v>201</v>
      </c>
      <c r="B73" s="1" t="s">
        <v>202</v>
      </c>
      <c r="C73" s="1" t="s">
        <v>203</v>
      </c>
      <c r="D73" s="1">
        <v>10</v>
      </c>
      <c r="E73" s="1">
        <v>69</v>
      </c>
      <c r="F73" s="1">
        <v>6</v>
      </c>
      <c r="G73" s="1">
        <v>65</v>
      </c>
    </row>
    <row r="74" spans="1:7" ht="15.3" x14ac:dyDescent="0.55000000000000004">
      <c r="A74" s="1" t="s">
        <v>204</v>
      </c>
      <c r="B74" s="1" t="s">
        <v>205</v>
      </c>
      <c r="C74" s="1" t="s">
        <v>206</v>
      </c>
      <c r="D74" s="1">
        <v>12</v>
      </c>
      <c r="E74" s="1">
        <v>73</v>
      </c>
      <c r="F74" s="1">
        <v>5</v>
      </c>
      <c r="G74" s="1">
        <v>70</v>
      </c>
    </row>
    <row r="75" spans="1:7" ht="15.3" x14ac:dyDescent="0.55000000000000004">
      <c r="A75" s="1" t="s">
        <v>207</v>
      </c>
      <c r="B75" s="1" t="s">
        <v>208</v>
      </c>
      <c r="C75" s="1" t="s">
        <v>209</v>
      </c>
      <c r="D75" s="1">
        <v>14</v>
      </c>
      <c r="E75" s="1">
        <v>77</v>
      </c>
      <c r="F75" s="1">
        <v>4</v>
      </c>
      <c r="G75" s="1">
        <v>74</v>
      </c>
    </row>
    <row r="76" spans="1:7" ht="15.3" x14ac:dyDescent="0.55000000000000004">
      <c r="A76" s="1" t="s">
        <v>210</v>
      </c>
      <c r="B76" s="1" t="s">
        <v>211</v>
      </c>
      <c r="C76" s="1" t="s">
        <v>212</v>
      </c>
      <c r="D76" s="1">
        <v>16</v>
      </c>
      <c r="E76" s="1">
        <v>81</v>
      </c>
      <c r="F76" s="1">
        <v>3</v>
      </c>
      <c r="G76" s="1">
        <v>79</v>
      </c>
    </row>
    <row r="77" spans="1:7" ht="15.3" x14ac:dyDescent="0.55000000000000004">
      <c r="A77" s="1" t="s">
        <v>213</v>
      </c>
      <c r="B77" s="1" t="s">
        <v>214</v>
      </c>
      <c r="C77" s="1" t="s">
        <v>215</v>
      </c>
      <c r="D77" s="1">
        <v>18</v>
      </c>
      <c r="E77" s="1">
        <v>85</v>
      </c>
      <c r="F77" s="1">
        <v>3</v>
      </c>
      <c r="G77" s="1">
        <v>83</v>
      </c>
    </row>
    <row r="78" spans="1:7" ht="15.3" x14ac:dyDescent="0.55000000000000004">
      <c r="A78" s="1" t="s">
        <v>55</v>
      </c>
      <c r="B78" s="1" t="s">
        <v>216</v>
      </c>
      <c r="C78" s="1" t="s">
        <v>217</v>
      </c>
      <c r="D78" s="1">
        <v>20</v>
      </c>
      <c r="E78" s="1">
        <v>89</v>
      </c>
      <c r="F78" s="1">
        <v>2</v>
      </c>
      <c r="G78" s="1">
        <v>87</v>
      </c>
    </row>
    <row r="79" spans="1:7" ht="15.3" x14ac:dyDescent="0.55000000000000004">
      <c r="A79" s="1" t="s">
        <v>136</v>
      </c>
      <c r="B79" s="1" t="s">
        <v>218</v>
      </c>
      <c r="C79" s="1" t="s">
        <v>219</v>
      </c>
      <c r="D79" s="1">
        <v>22</v>
      </c>
      <c r="E79" s="1">
        <v>93</v>
      </c>
      <c r="F79" s="1">
        <v>1</v>
      </c>
      <c r="G79" s="1">
        <v>91</v>
      </c>
    </row>
    <row r="80" spans="1:7" ht="15.3" x14ac:dyDescent="0.55000000000000004">
      <c r="A80" s="1" t="s">
        <v>220</v>
      </c>
      <c r="B80" s="1" t="s">
        <v>221</v>
      </c>
      <c r="C80" s="1" t="s">
        <v>222</v>
      </c>
      <c r="D80" s="1">
        <v>9</v>
      </c>
      <c r="E80" s="1">
        <v>66</v>
      </c>
      <c r="F80" s="1">
        <v>6</v>
      </c>
      <c r="G80" s="1">
        <v>63</v>
      </c>
    </row>
    <row r="81" spans="1:7" ht="15.3" x14ac:dyDescent="0.55000000000000004">
      <c r="A81" s="1" t="s">
        <v>52</v>
      </c>
      <c r="B81" s="1" t="s">
        <v>223</v>
      </c>
      <c r="C81" s="1" t="s">
        <v>224</v>
      </c>
      <c r="D81" s="1">
        <v>11</v>
      </c>
      <c r="E81" s="1">
        <v>71</v>
      </c>
      <c r="F81" s="1">
        <v>5</v>
      </c>
      <c r="G81" s="1">
        <v>68</v>
      </c>
    </row>
    <row r="82" spans="1:7" ht="15.3" x14ac:dyDescent="0.55000000000000004">
      <c r="A82" s="1" t="s">
        <v>49</v>
      </c>
      <c r="B82" s="1" t="s">
        <v>225</v>
      </c>
      <c r="C82" s="1" t="s">
        <v>226</v>
      </c>
      <c r="D82" s="1">
        <v>13</v>
      </c>
      <c r="E82" s="1">
        <v>75</v>
      </c>
      <c r="F82" s="1">
        <v>5</v>
      </c>
      <c r="G82" s="1">
        <v>72</v>
      </c>
    </row>
    <row r="83" spans="1:7" ht="15.3" x14ac:dyDescent="0.55000000000000004">
      <c r="A83" s="1" t="s">
        <v>227</v>
      </c>
      <c r="B83" s="1" t="s">
        <v>228</v>
      </c>
      <c r="C83" s="1" t="s">
        <v>229</v>
      </c>
      <c r="D83" s="1">
        <v>15</v>
      </c>
      <c r="E83" s="1">
        <v>79</v>
      </c>
      <c r="F83" s="1">
        <v>4</v>
      </c>
      <c r="G83" s="1">
        <v>76</v>
      </c>
    </row>
    <row r="84" spans="1:7" ht="15.3" x14ac:dyDescent="0.55000000000000004">
      <c r="A84" s="1" t="s">
        <v>230</v>
      </c>
      <c r="B84" s="1" t="s">
        <v>231</v>
      </c>
      <c r="C84" s="1" t="s">
        <v>232</v>
      </c>
      <c r="D84" s="1">
        <v>17</v>
      </c>
      <c r="E84" s="1">
        <v>83</v>
      </c>
      <c r="F84" s="1">
        <v>3</v>
      </c>
      <c r="G84" s="1">
        <v>80</v>
      </c>
    </row>
    <row r="85" spans="1:7" ht="15.3" x14ac:dyDescent="0.55000000000000004">
      <c r="A85" s="1" t="s">
        <v>10</v>
      </c>
      <c r="B85" s="1" t="s">
        <v>233</v>
      </c>
      <c r="C85" s="1" t="s">
        <v>234</v>
      </c>
      <c r="D85" s="1">
        <v>19</v>
      </c>
      <c r="E85" s="1">
        <v>87</v>
      </c>
      <c r="F85" s="1">
        <v>3</v>
      </c>
      <c r="G85" s="1">
        <v>84</v>
      </c>
    </row>
    <row r="86" spans="1:7" ht="15.3" x14ac:dyDescent="0.55000000000000004">
      <c r="A86" s="1" t="s">
        <v>235</v>
      </c>
      <c r="B86" s="1" t="s">
        <v>236</v>
      </c>
      <c r="C86" s="1" t="s">
        <v>237</v>
      </c>
      <c r="D86" s="1">
        <v>21</v>
      </c>
      <c r="E86" s="1">
        <v>91</v>
      </c>
      <c r="F86" s="1">
        <v>2</v>
      </c>
      <c r="G86" s="1">
        <v>88</v>
      </c>
    </row>
    <row r="87" spans="1:7" ht="15.3" x14ac:dyDescent="0.55000000000000004">
      <c r="A87" s="1" t="s">
        <v>157</v>
      </c>
      <c r="B87" s="1" t="s">
        <v>238</v>
      </c>
      <c r="C87" s="1" t="s">
        <v>239</v>
      </c>
      <c r="D87" s="1">
        <v>23</v>
      </c>
      <c r="E87" s="1">
        <v>95</v>
      </c>
      <c r="F87" s="1">
        <v>1</v>
      </c>
      <c r="G87" s="1">
        <v>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Alunos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Filipe Freitas Campos</cp:lastModifiedBy>
  <dcterms:created xsi:type="dcterms:W3CDTF">2026-01-26T21:38:10Z</dcterms:created>
  <dcterms:modified xsi:type="dcterms:W3CDTF">2026-03-20T03:07:40Z</dcterms:modified>
</cp:coreProperties>
</file>